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9fc378b064a2221d/Creative Cosmos/Office Projects/TCG Digital/GSMPL/EBITDA/"/>
    </mc:Choice>
  </mc:AlternateContent>
  <xr:revisionPtr revIDLastSave="3" documentId="13_ncr:1_{40AEE3D5-E17A-104C-BC31-F660AA698591}" xr6:coauthVersionLast="47" xr6:coauthVersionMax="47" xr10:uidLastSave="{382C1337-9680-42B0-BFE4-8B0F85BFEC66}"/>
  <bookViews>
    <workbookView xWindow="-120" yWindow="-120" windowWidth="38640" windowHeight="21120" activeTab="1" xr2:uid="{00000000-000D-0000-FFFF-FFFF00000000}"/>
  </bookViews>
  <sheets>
    <sheet name="Daily EBITDA per kg" sheetId="3" r:id="rId1"/>
    <sheet name="Daily EBITD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2" l="1"/>
</calcChain>
</file>

<file path=xl/sharedStrings.xml><?xml version="1.0" encoding="utf-8"?>
<sst xmlns="http://schemas.openxmlformats.org/spreadsheetml/2006/main" count="574" uniqueCount="87">
  <si>
    <t>Sr No.</t>
  </si>
  <si>
    <t>Chips</t>
  </si>
  <si>
    <t>POY</t>
  </si>
  <si>
    <t>FDY</t>
  </si>
  <si>
    <t>DTY</t>
  </si>
  <si>
    <t>ATY</t>
  </si>
  <si>
    <t>ACY</t>
  </si>
  <si>
    <t>DW</t>
  </si>
  <si>
    <t>SZ</t>
  </si>
  <si>
    <t>Mono</t>
  </si>
  <si>
    <t>Others</t>
  </si>
  <si>
    <t>Sales Value Domestic</t>
  </si>
  <si>
    <t>Sales Qty Export</t>
  </si>
  <si>
    <t>Sales Value Export</t>
  </si>
  <si>
    <t>Sales Total Value(2+4)</t>
  </si>
  <si>
    <t>Commission</t>
  </si>
  <si>
    <t>Cash Discount</t>
  </si>
  <si>
    <t>Rate Discount</t>
  </si>
  <si>
    <t>A</t>
  </si>
  <si>
    <t>B</t>
  </si>
  <si>
    <t>Source</t>
  </si>
  <si>
    <t>SAP</t>
  </si>
  <si>
    <t>Formula</t>
  </si>
  <si>
    <t>Manual</t>
  </si>
  <si>
    <t>Outward Freight</t>
  </si>
  <si>
    <t>Responsibility</t>
  </si>
  <si>
    <t>TBS</t>
  </si>
  <si>
    <t>Kamal Kansara</t>
  </si>
  <si>
    <t>Ocean Freight</t>
  </si>
  <si>
    <t>Internal Freight</t>
  </si>
  <si>
    <t>Warehouse charges</t>
  </si>
  <si>
    <t>Sales &amp; Distribution Expenses (5+6+7+8+9+10+11)</t>
  </si>
  <si>
    <t>C</t>
  </si>
  <si>
    <t>Net Sales (A-B)</t>
  </si>
  <si>
    <t>Basudev</t>
  </si>
  <si>
    <t>PTA</t>
  </si>
  <si>
    <t>MEG</t>
  </si>
  <si>
    <t>Melt (12+13)</t>
  </si>
  <si>
    <t>D</t>
  </si>
  <si>
    <t>E</t>
  </si>
  <si>
    <t>Gross Margin/spread (C-D)</t>
  </si>
  <si>
    <t>Power</t>
  </si>
  <si>
    <t>Heating</t>
  </si>
  <si>
    <t>Other VCC</t>
  </si>
  <si>
    <t>F</t>
  </si>
  <si>
    <t>G</t>
  </si>
  <si>
    <t>Contribution (E-F)</t>
  </si>
  <si>
    <t>Biren</t>
  </si>
  <si>
    <t>Additives &amp; chemicals</t>
  </si>
  <si>
    <t>Packing materials</t>
  </si>
  <si>
    <t>Procured RM (Chips, spandex)</t>
  </si>
  <si>
    <t>Subtotal VCC (14 to 20)</t>
  </si>
  <si>
    <t>H</t>
  </si>
  <si>
    <t>Stores &amp; repairs</t>
  </si>
  <si>
    <t>Manpower (Payroll)</t>
  </si>
  <si>
    <t>Contract Manpower</t>
  </si>
  <si>
    <t>Insurance</t>
  </si>
  <si>
    <t>Overheads</t>
  </si>
  <si>
    <t>Subtotal FC Conversion cost (21 to 25)</t>
  </si>
  <si>
    <t>I</t>
  </si>
  <si>
    <t>Internal shifting of SFG</t>
  </si>
  <si>
    <t>Corporate Income</t>
  </si>
  <si>
    <t>J</t>
  </si>
  <si>
    <t>Eric</t>
  </si>
  <si>
    <t>K</t>
  </si>
  <si>
    <t>Corporate Expense Payroll</t>
  </si>
  <si>
    <t>Corporate Expense Others</t>
  </si>
  <si>
    <t>Subtotal corporate (27+28-29)</t>
  </si>
  <si>
    <t>Sales per kg (C/Sales Qty)</t>
  </si>
  <si>
    <t>Contribution per kg (G/Sales Qty)</t>
  </si>
  <si>
    <t>Margin Jolwa (G-H-26)</t>
  </si>
  <si>
    <t>Margin per kg (I/Sales Qty)</t>
  </si>
  <si>
    <t>EBITDA (I-J)</t>
  </si>
  <si>
    <t>EBITDA per kg (K/Sales Qty)</t>
  </si>
  <si>
    <t>This will be T-2 i.e. on 28th Aug, we will get report for 26th Aug</t>
  </si>
  <si>
    <t>Following 3 are not product  wise</t>
  </si>
  <si>
    <t>MTD 1-26</t>
  </si>
  <si>
    <t>Particulars</t>
  </si>
  <si>
    <t>GSMPL daily EBITDA</t>
  </si>
  <si>
    <t>Antimony</t>
  </si>
  <si>
    <t xml:space="preserve">Sales Qty Domestic </t>
  </si>
  <si>
    <t>UOM</t>
  </si>
  <si>
    <t>MT</t>
  </si>
  <si>
    <t>Rs.Cr.</t>
  </si>
  <si>
    <t>Rs/Kg</t>
  </si>
  <si>
    <t>Waste Sale/Others</t>
  </si>
  <si>
    <t>Per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</si>
</sst>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1" fillId="0" borderId="1" xfId="0" applyFont="1" applyBorder="1"/>
    <xf numFmtId="0" fontId="2" fillId="3" borderId="1" xfId="0" applyFont="1" applyFill="1" applyBorder="1"/>
    <xf numFmtId="16" fontId="2" fillId="3" borderId="1" xfId="0" applyNumberFormat="1" applyFont="1" applyFill="1" applyBorder="1"/>
    <xf numFmtId="0" fontId="3" fillId="0" borderId="1" xfId="0" applyFont="1" applyBorder="1"/>
    <xf numFmtId="0" fontId="3" fillId="0" borderId="0" xfId="0" applyFont="1"/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3907A-EE2C-411E-BE25-13323C163984}">
  <dimension ref="A1:Q51"/>
  <sheetViews>
    <sheetView zoomScaleNormal="100" workbookViewId="0">
      <selection activeCell="C43" sqref="C43:C44"/>
    </sheetView>
  </sheetViews>
  <sheetFormatPr defaultColWidth="8.85546875" defaultRowHeight="15" x14ac:dyDescent="0.25"/>
  <cols>
    <col min="1" max="1" width="6.28515625" bestFit="1" customWidth="1"/>
    <col min="2" max="2" width="45.7109375" customWidth="1"/>
    <col min="3" max="3" width="6.85546875" bestFit="1" customWidth="1"/>
    <col min="5" max="5" width="15" bestFit="1" customWidth="1"/>
    <col min="6" max="6" width="5.85546875" bestFit="1" customWidth="1"/>
    <col min="7" max="7" width="4.42578125" bestFit="1" customWidth="1"/>
    <col min="8" max="9" width="4.28515625" bestFit="1" customWidth="1"/>
    <col min="10" max="10" width="4.42578125" bestFit="1" customWidth="1"/>
    <col min="11" max="11" width="4.28515625" bestFit="1" customWidth="1"/>
    <col min="12" max="12" width="4.140625" bestFit="1" customWidth="1"/>
    <col min="13" max="13" width="3" bestFit="1" customWidth="1"/>
    <col min="14" max="14" width="6.140625" bestFit="1" customWidth="1"/>
    <col min="15" max="15" width="7" bestFit="1" customWidth="1"/>
    <col min="16" max="16" width="8.85546875" bestFit="1" customWidth="1"/>
  </cols>
  <sheetData>
    <row r="1" spans="1:17" ht="15.75" x14ac:dyDescent="0.25">
      <c r="A1" s="9" t="s">
        <v>78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25">
      <c r="A2" s="5" t="s">
        <v>0</v>
      </c>
      <c r="B2" s="5" t="s">
        <v>77</v>
      </c>
      <c r="C2" s="5" t="s">
        <v>86</v>
      </c>
      <c r="D2" s="5" t="s">
        <v>20</v>
      </c>
      <c r="E2" s="5" t="s">
        <v>25</v>
      </c>
      <c r="F2" s="5" t="s">
        <v>1</v>
      </c>
      <c r="G2" s="5" t="s">
        <v>2</v>
      </c>
      <c r="H2" s="5" t="s">
        <v>3</v>
      </c>
      <c r="I2" s="5" t="s">
        <v>4</v>
      </c>
      <c r="J2" s="5" t="s">
        <v>6</v>
      </c>
      <c r="K2" s="5" t="s">
        <v>5</v>
      </c>
      <c r="L2" s="5" t="s">
        <v>7</v>
      </c>
      <c r="M2" s="5" t="s">
        <v>8</v>
      </c>
      <c r="N2" s="5" t="s">
        <v>9</v>
      </c>
      <c r="O2" s="5" t="s">
        <v>10</v>
      </c>
      <c r="P2" s="6">
        <v>45895</v>
      </c>
      <c r="Q2" s="5" t="s">
        <v>76</v>
      </c>
    </row>
    <row r="3" spans="1:17" s="8" customFormat="1" x14ac:dyDescent="0.25">
      <c r="A3" s="7">
        <v>1</v>
      </c>
      <c r="B3" s="7" t="s">
        <v>80</v>
      </c>
      <c r="C3" s="7" t="s">
        <v>82</v>
      </c>
      <c r="D3" s="7" t="s">
        <v>21</v>
      </c>
      <c r="E3" s="7" t="s">
        <v>27</v>
      </c>
      <c r="F3" s="7"/>
      <c r="G3" s="7"/>
      <c r="H3" s="7"/>
      <c r="I3" s="7"/>
      <c r="J3" s="7"/>
      <c r="K3" s="7"/>
      <c r="L3" s="7"/>
      <c r="M3" s="7"/>
      <c r="N3" s="7"/>
      <c r="O3" s="7"/>
      <c r="P3" s="2" t="s">
        <v>22</v>
      </c>
      <c r="Q3" s="2" t="s">
        <v>22</v>
      </c>
    </row>
    <row r="4" spans="1:17" x14ac:dyDescent="0.25">
      <c r="A4" s="1">
        <v>2</v>
      </c>
      <c r="B4" s="1" t="s">
        <v>11</v>
      </c>
      <c r="C4" s="1" t="s">
        <v>84</v>
      </c>
      <c r="D4" s="1" t="s">
        <v>21</v>
      </c>
      <c r="E4" s="1" t="s">
        <v>27</v>
      </c>
      <c r="F4" s="1"/>
      <c r="G4" s="1"/>
      <c r="H4" s="1"/>
      <c r="I4" s="1"/>
      <c r="J4" s="1"/>
      <c r="K4" s="1"/>
      <c r="L4" s="1"/>
      <c r="M4" s="1"/>
      <c r="N4" s="1"/>
      <c r="O4" s="1"/>
      <c r="P4" s="2" t="s">
        <v>22</v>
      </c>
      <c r="Q4" s="2" t="s">
        <v>22</v>
      </c>
    </row>
    <row r="5" spans="1:17" s="8" customFormat="1" x14ac:dyDescent="0.25">
      <c r="A5" s="7">
        <v>3</v>
      </c>
      <c r="B5" s="7" t="s">
        <v>12</v>
      </c>
      <c r="C5" s="7" t="s">
        <v>82</v>
      </c>
      <c r="D5" s="7" t="s">
        <v>21</v>
      </c>
      <c r="E5" s="7" t="s">
        <v>27</v>
      </c>
      <c r="F5" s="7"/>
      <c r="G5" s="7"/>
      <c r="H5" s="7"/>
      <c r="I5" s="7"/>
      <c r="J5" s="7"/>
      <c r="K5" s="7"/>
      <c r="L5" s="7"/>
      <c r="M5" s="7"/>
      <c r="N5" s="7"/>
      <c r="O5" s="7"/>
      <c r="P5" s="2" t="s">
        <v>22</v>
      </c>
      <c r="Q5" s="2" t="s">
        <v>22</v>
      </c>
    </row>
    <row r="6" spans="1:17" x14ac:dyDescent="0.25">
      <c r="A6" s="1">
        <v>4</v>
      </c>
      <c r="B6" s="1" t="s">
        <v>13</v>
      </c>
      <c r="C6" s="1" t="s">
        <v>84</v>
      </c>
      <c r="D6" s="1" t="s">
        <v>21</v>
      </c>
      <c r="E6" s="1" t="s">
        <v>27</v>
      </c>
      <c r="F6" s="1"/>
      <c r="G6" s="1"/>
      <c r="H6" s="1"/>
      <c r="I6" s="1"/>
      <c r="J6" s="1"/>
      <c r="K6" s="1"/>
      <c r="L6" s="1"/>
      <c r="M6" s="1"/>
      <c r="N6" s="1"/>
      <c r="O6" s="1"/>
      <c r="P6" s="2" t="s">
        <v>22</v>
      </c>
      <c r="Q6" s="2" t="s">
        <v>22</v>
      </c>
    </row>
    <row r="7" spans="1:17" x14ac:dyDescent="0.25">
      <c r="A7" s="1"/>
      <c r="B7" s="1" t="s">
        <v>85</v>
      </c>
      <c r="C7" s="1" t="s">
        <v>84</v>
      </c>
      <c r="D7" s="1" t="s">
        <v>21</v>
      </c>
      <c r="E7" s="1" t="s">
        <v>27</v>
      </c>
      <c r="F7" s="1"/>
      <c r="G7" s="1"/>
      <c r="H7" s="1"/>
      <c r="I7" s="1"/>
      <c r="J7" s="1"/>
      <c r="K7" s="1"/>
      <c r="L7" s="1"/>
      <c r="M7" s="1"/>
      <c r="N7" s="1"/>
      <c r="O7" s="1"/>
      <c r="P7" s="2" t="s">
        <v>22</v>
      </c>
      <c r="Q7" s="2" t="s">
        <v>22</v>
      </c>
    </row>
    <row r="8" spans="1:17" x14ac:dyDescent="0.25">
      <c r="A8" s="2" t="s">
        <v>18</v>
      </c>
      <c r="B8" s="2" t="s">
        <v>14</v>
      </c>
      <c r="C8" s="2" t="s">
        <v>84</v>
      </c>
      <c r="D8" s="2" t="s">
        <v>22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 t="s">
        <v>22</v>
      </c>
      <c r="Q8" s="2" t="s">
        <v>22</v>
      </c>
    </row>
    <row r="9" spans="1:17" x14ac:dyDescent="0.25">
      <c r="A9" s="1">
        <v>5</v>
      </c>
      <c r="B9" s="1" t="s">
        <v>24</v>
      </c>
      <c r="C9" s="1" t="s">
        <v>84</v>
      </c>
      <c r="D9" s="1" t="s">
        <v>26</v>
      </c>
      <c r="E9" s="1" t="s">
        <v>27</v>
      </c>
      <c r="F9" s="1"/>
      <c r="G9" s="1"/>
      <c r="H9" s="1"/>
      <c r="I9" s="1"/>
      <c r="J9" s="1"/>
      <c r="K9" s="1"/>
      <c r="L9" s="1"/>
      <c r="M9" s="1"/>
      <c r="N9" s="1"/>
      <c r="O9" s="1"/>
      <c r="P9" s="2" t="s">
        <v>22</v>
      </c>
      <c r="Q9" s="2" t="s">
        <v>22</v>
      </c>
    </row>
    <row r="10" spans="1:17" x14ac:dyDescent="0.25">
      <c r="A10" s="1">
        <v>6</v>
      </c>
      <c r="B10" s="1" t="s">
        <v>28</v>
      </c>
      <c r="C10" s="1" t="s">
        <v>84</v>
      </c>
      <c r="D10" s="1" t="s">
        <v>23</v>
      </c>
      <c r="E10" s="1" t="s">
        <v>34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2" t="s">
        <v>22</v>
      </c>
      <c r="Q10" s="2" t="s">
        <v>22</v>
      </c>
    </row>
    <row r="11" spans="1:17" x14ac:dyDescent="0.25">
      <c r="A11" s="1">
        <v>7</v>
      </c>
      <c r="B11" s="1" t="s">
        <v>15</v>
      </c>
      <c r="C11" s="1" t="s">
        <v>84</v>
      </c>
      <c r="D11" s="1" t="s">
        <v>21</v>
      </c>
      <c r="E11" s="1" t="s">
        <v>27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2" t="s">
        <v>22</v>
      </c>
      <c r="Q11" s="2" t="s">
        <v>22</v>
      </c>
    </row>
    <row r="12" spans="1:17" x14ac:dyDescent="0.25">
      <c r="A12" s="1">
        <v>8</v>
      </c>
      <c r="B12" s="1" t="s">
        <v>16</v>
      </c>
      <c r="C12" s="1" t="s">
        <v>84</v>
      </c>
      <c r="D12" s="1" t="s">
        <v>23</v>
      </c>
      <c r="E12" s="1" t="s">
        <v>34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2" t="s">
        <v>22</v>
      </c>
      <c r="Q12" s="2" t="s">
        <v>22</v>
      </c>
    </row>
    <row r="13" spans="1:17" x14ac:dyDescent="0.25">
      <c r="A13" s="1">
        <v>9</v>
      </c>
      <c r="B13" s="1" t="s">
        <v>17</v>
      </c>
      <c r="C13" s="1" t="s">
        <v>84</v>
      </c>
      <c r="D13" s="1" t="s">
        <v>21</v>
      </c>
      <c r="E13" s="1" t="s">
        <v>27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2" t="s">
        <v>22</v>
      </c>
      <c r="Q13" s="2" t="s">
        <v>22</v>
      </c>
    </row>
    <row r="14" spans="1:17" x14ac:dyDescent="0.25">
      <c r="A14" s="1">
        <v>10</v>
      </c>
      <c r="B14" s="1" t="s">
        <v>29</v>
      </c>
      <c r="C14" s="1" t="s">
        <v>84</v>
      </c>
      <c r="D14" s="1" t="s">
        <v>23</v>
      </c>
      <c r="E14" s="1" t="s">
        <v>27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2" t="s">
        <v>22</v>
      </c>
      <c r="Q14" s="2" t="s">
        <v>22</v>
      </c>
    </row>
    <row r="15" spans="1:17" x14ac:dyDescent="0.25">
      <c r="A15" s="1">
        <v>11</v>
      </c>
      <c r="B15" s="1" t="s">
        <v>30</v>
      </c>
      <c r="C15" s="1" t="s">
        <v>84</v>
      </c>
      <c r="D15" s="1" t="s">
        <v>23</v>
      </c>
      <c r="E15" s="1" t="s">
        <v>27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2" t="s">
        <v>22</v>
      </c>
      <c r="Q15" s="2" t="s">
        <v>22</v>
      </c>
    </row>
    <row r="16" spans="1:17" x14ac:dyDescent="0.25">
      <c r="A16" s="2" t="s">
        <v>19</v>
      </c>
      <c r="B16" s="3" t="s">
        <v>31</v>
      </c>
      <c r="C16" s="2" t="s">
        <v>84</v>
      </c>
      <c r="D16" s="2" t="s">
        <v>22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 t="s">
        <v>22</v>
      </c>
      <c r="Q16" s="2" t="s">
        <v>22</v>
      </c>
    </row>
    <row r="17" spans="1:17" x14ac:dyDescent="0.25">
      <c r="A17" s="2" t="s">
        <v>32</v>
      </c>
      <c r="B17" s="2" t="s">
        <v>33</v>
      </c>
      <c r="C17" s="2" t="s">
        <v>84</v>
      </c>
      <c r="D17" s="2" t="s">
        <v>22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 t="s">
        <v>22</v>
      </c>
      <c r="Q17" s="2" t="s">
        <v>22</v>
      </c>
    </row>
    <row r="18" spans="1:17" x14ac:dyDescent="0.25">
      <c r="A18" s="1">
        <v>12</v>
      </c>
      <c r="B18" s="1" t="s">
        <v>35</v>
      </c>
      <c r="C18" s="1" t="s">
        <v>84</v>
      </c>
      <c r="D18" s="1" t="s">
        <v>23</v>
      </c>
      <c r="E18" s="1" t="s">
        <v>34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2" t="s">
        <v>22</v>
      </c>
      <c r="Q18" s="2" t="s">
        <v>22</v>
      </c>
    </row>
    <row r="19" spans="1:17" x14ac:dyDescent="0.25">
      <c r="A19" s="1">
        <v>13</v>
      </c>
      <c r="B19" s="1" t="s">
        <v>36</v>
      </c>
      <c r="C19" s="1" t="s">
        <v>84</v>
      </c>
      <c r="D19" s="1" t="s">
        <v>23</v>
      </c>
      <c r="E19" s="1" t="s">
        <v>34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2" t="s">
        <v>22</v>
      </c>
      <c r="Q19" s="2" t="s">
        <v>22</v>
      </c>
    </row>
    <row r="20" spans="1:17" x14ac:dyDescent="0.25">
      <c r="A20" s="2" t="s">
        <v>38</v>
      </c>
      <c r="B20" s="2" t="s">
        <v>37</v>
      </c>
      <c r="C20" s="2" t="s">
        <v>84</v>
      </c>
      <c r="D20" s="2" t="s">
        <v>22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 t="s">
        <v>22</v>
      </c>
      <c r="Q20" s="2" t="s">
        <v>22</v>
      </c>
    </row>
    <row r="21" spans="1:17" x14ac:dyDescent="0.25">
      <c r="A21" s="2" t="s">
        <v>39</v>
      </c>
      <c r="B21" s="2" t="s">
        <v>40</v>
      </c>
      <c r="C21" s="2" t="s">
        <v>84</v>
      </c>
      <c r="D21" s="2" t="s">
        <v>22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 t="s">
        <v>22</v>
      </c>
      <c r="Q21" s="2" t="s">
        <v>22</v>
      </c>
    </row>
    <row r="22" spans="1:17" x14ac:dyDescent="0.25">
      <c r="A22" s="1">
        <v>14</v>
      </c>
      <c r="B22" s="1" t="s">
        <v>41</v>
      </c>
      <c r="C22" s="1" t="s">
        <v>84</v>
      </c>
      <c r="D22" s="1" t="s">
        <v>23</v>
      </c>
      <c r="E22" s="1" t="s">
        <v>47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2" t="s">
        <v>22</v>
      </c>
      <c r="Q22" s="2" t="s">
        <v>22</v>
      </c>
    </row>
    <row r="23" spans="1:17" x14ac:dyDescent="0.25">
      <c r="A23" s="1">
        <v>15</v>
      </c>
      <c r="B23" s="1" t="s">
        <v>42</v>
      </c>
      <c r="C23" s="1" t="s">
        <v>84</v>
      </c>
      <c r="D23" s="1" t="s">
        <v>23</v>
      </c>
      <c r="E23" s="1" t="s">
        <v>47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2" t="s">
        <v>22</v>
      </c>
      <c r="Q23" s="2" t="s">
        <v>22</v>
      </c>
    </row>
    <row r="24" spans="1:17" x14ac:dyDescent="0.25">
      <c r="A24" s="1">
        <v>16</v>
      </c>
      <c r="B24" s="1" t="s">
        <v>79</v>
      </c>
      <c r="C24" s="1" t="s">
        <v>84</v>
      </c>
      <c r="D24" s="1" t="s">
        <v>21</v>
      </c>
      <c r="E24" s="1" t="s">
        <v>47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2" t="s">
        <v>22</v>
      </c>
      <c r="Q24" s="2" t="s">
        <v>22</v>
      </c>
    </row>
    <row r="25" spans="1:17" x14ac:dyDescent="0.25">
      <c r="A25" s="1">
        <v>17</v>
      </c>
      <c r="B25" s="1" t="s">
        <v>48</v>
      </c>
      <c r="C25" s="1" t="s">
        <v>84</v>
      </c>
      <c r="D25" s="1" t="s">
        <v>21</v>
      </c>
      <c r="E25" s="1" t="s">
        <v>47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2" t="s">
        <v>22</v>
      </c>
      <c r="Q25" s="2" t="s">
        <v>22</v>
      </c>
    </row>
    <row r="26" spans="1:17" x14ac:dyDescent="0.25">
      <c r="A26" s="1">
        <v>18</v>
      </c>
      <c r="B26" s="1" t="s">
        <v>49</v>
      </c>
      <c r="C26" s="1" t="s">
        <v>84</v>
      </c>
      <c r="D26" s="1" t="s">
        <v>21</v>
      </c>
      <c r="E26" s="1" t="s">
        <v>47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2" t="s">
        <v>22</v>
      </c>
      <c r="Q26" s="2" t="s">
        <v>22</v>
      </c>
    </row>
    <row r="27" spans="1:17" x14ac:dyDescent="0.25">
      <c r="A27" s="1">
        <v>19</v>
      </c>
      <c r="B27" s="1" t="s">
        <v>50</v>
      </c>
      <c r="C27" s="1" t="s">
        <v>84</v>
      </c>
      <c r="D27" s="1" t="s">
        <v>21</v>
      </c>
      <c r="E27" s="1" t="s">
        <v>47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2" t="s">
        <v>22</v>
      </c>
      <c r="Q27" s="2" t="s">
        <v>22</v>
      </c>
    </row>
    <row r="28" spans="1:17" x14ac:dyDescent="0.25">
      <c r="A28" s="1">
        <v>20</v>
      </c>
      <c r="B28" s="1" t="s">
        <v>43</v>
      </c>
      <c r="C28" s="1" t="s">
        <v>84</v>
      </c>
      <c r="D28" s="1" t="s">
        <v>23</v>
      </c>
      <c r="E28" s="1" t="s">
        <v>47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2" t="s">
        <v>22</v>
      </c>
      <c r="Q28" s="2" t="s">
        <v>22</v>
      </c>
    </row>
    <row r="29" spans="1:17" x14ac:dyDescent="0.25">
      <c r="A29" s="2" t="s">
        <v>44</v>
      </c>
      <c r="B29" s="2" t="s">
        <v>51</v>
      </c>
      <c r="C29" s="2" t="s">
        <v>84</v>
      </c>
      <c r="D29" s="2" t="s">
        <v>22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 t="s">
        <v>22</v>
      </c>
      <c r="Q29" s="2" t="s">
        <v>22</v>
      </c>
    </row>
    <row r="30" spans="1:17" x14ac:dyDescent="0.25">
      <c r="A30" s="2" t="s">
        <v>45</v>
      </c>
      <c r="B30" s="2" t="s">
        <v>46</v>
      </c>
      <c r="C30" s="2" t="s">
        <v>84</v>
      </c>
      <c r="D30" s="2" t="s">
        <v>22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 t="s">
        <v>22</v>
      </c>
      <c r="Q30" s="2" t="s">
        <v>22</v>
      </c>
    </row>
    <row r="31" spans="1:17" x14ac:dyDescent="0.25">
      <c r="A31" s="1">
        <v>21</v>
      </c>
      <c r="B31" s="1" t="s">
        <v>53</v>
      </c>
      <c r="C31" s="1" t="s">
        <v>84</v>
      </c>
      <c r="D31" s="1" t="s">
        <v>21</v>
      </c>
      <c r="E31" s="1" t="s">
        <v>47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2" t="s">
        <v>22</v>
      </c>
      <c r="Q31" s="2" t="s">
        <v>22</v>
      </c>
    </row>
    <row r="32" spans="1:17" x14ac:dyDescent="0.25">
      <c r="A32" s="1">
        <v>22</v>
      </c>
      <c r="B32" s="1" t="s">
        <v>54</v>
      </c>
      <c r="C32" s="1" t="s">
        <v>84</v>
      </c>
      <c r="D32" s="1" t="s">
        <v>23</v>
      </c>
      <c r="E32" s="1" t="s">
        <v>47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2" t="s">
        <v>22</v>
      </c>
      <c r="Q32" s="2" t="s">
        <v>22</v>
      </c>
    </row>
    <row r="33" spans="1:17" x14ac:dyDescent="0.25">
      <c r="A33" s="1">
        <v>23</v>
      </c>
      <c r="B33" s="1" t="s">
        <v>55</v>
      </c>
      <c r="C33" s="1" t="s">
        <v>84</v>
      </c>
      <c r="D33" s="1" t="s">
        <v>23</v>
      </c>
      <c r="E33" s="1" t="s">
        <v>47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2" t="s">
        <v>22</v>
      </c>
      <c r="Q33" s="2" t="s">
        <v>22</v>
      </c>
    </row>
    <row r="34" spans="1:17" x14ac:dyDescent="0.25">
      <c r="A34" s="1">
        <v>24</v>
      </c>
      <c r="B34" s="1" t="s">
        <v>56</v>
      </c>
      <c r="C34" s="1" t="s">
        <v>84</v>
      </c>
      <c r="D34" s="1" t="s">
        <v>23</v>
      </c>
      <c r="E34" s="1" t="s">
        <v>47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2" t="s">
        <v>22</v>
      </c>
      <c r="Q34" s="2" t="s">
        <v>22</v>
      </c>
    </row>
    <row r="35" spans="1:17" x14ac:dyDescent="0.25">
      <c r="A35" s="1">
        <v>25</v>
      </c>
      <c r="B35" s="1" t="s">
        <v>57</v>
      </c>
      <c r="C35" s="1" t="s">
        <v>84</v>
      </c>
      <c r="D35" s="1" t="s">
        <v>23</v>
      </c>
      <c r="E35" s="1" t="s">
        <v>47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2" t="s">
        <v>22</v>
      </c>
      <c r="Q35" s="2" t="s">
        <v>22</v>
      </c>
    </row>
    <row r="36" spans="1:17" x14ac:dyDescent="0.25">
      <c r="A36" s="2" t="s">
        <v>52</v>
      </c>
      <c r="B36" s="3" t="s">
        <v>58</v>
      </c>
      <c r="C36" s="2" t="s">
        <v>84</v>
      </c>
      <c r="D36" s="2" t="s">
        <v>22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 t="s">
        <v>22</v>
      </c>
      <c r="Q36" s="2" t="s">
        <v>22</v>
      </c>
    </row>
    <row r="37" spans="1:17" x14ac:dyDescent="0.25">
      <c r="A37" s="1">
        <v>26</v>
      </c>
      <c r="B37" s="1" t="s">
        <v>60</v>
      </c>
      <c r="C37" s="1" t="s">
        <v>84</v>
      </c>
      <c r="D37" s="1" t="s">
        <v>23</v>
      </c>
      <c r="E37" s="1" t="s">
        <v>47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2" t="s">
        <v>22</v>
      </c>
      <c r="Q37" s="2" t="s">
        <v>22</v>
      </c>
    </row>
    <row r="38" spans="1:17" x14ac:dyDescent="0.25">
      <c r="A38" s="2" t="s">
        <v>59</v>
      </c>
      <c r="B38" s="2" t="s">
        <v>70</v>
      </c>
      <c r="C38" s="2" t="s">
        <v>84</v>
      </c>
      <c r="D38" s="2" t="s">
        <v>22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 t="s">
        <v>22</v>
      </c>
      <c r="Q38" s="2" t="s">
        <v>22</v>
      </c>
    </row>
    <row r="39" spans="1:17" x14ac:dyDescent="0.25">
      <c r="A39" s="1"/>
      <c r="B39" s="4" t="s">
        <v>75</v>
      </c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2" t="s">
        <v>22</v>
      </c>
      <c r="Q39" s="2" t="s">
        <v>22</v>
      </c>
    </row>
    <row r="40" spans="1:17" x14ac:dyDescent="0.25">
      <c r="A40" s="1">
        <v>27</v>
      </c>
      <c r="B40" s="1" t="s">
        <v>65</v>
      </c>
      <c r="C40" s="1" t="s">
        <v>84</v>
      </c>
      <c r="D40" s="1" t="s">
        <v>23</v>
      </c>
      <c r="E40" s="1" t="s">
        <v>63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2" t="s">
        <v>22</v>
      </c>
      <c r="Q40" s="2" t="s">
        <v>22</v>
      </c>
    </row>
    <row r="41" spans="1:17" x14ac:dyDescent="0.25">
      <c r="A41" s="1">
        <v>28</v>
      </c>
      <c r="B41" s="1" t="s">
        <v>66</v>
      </c>
      <c r="C41" s="1" t="s">
        <v>84</v>
      </c>
      <c r="D41" s="1" t="s">
        <v>23</v>
      </c>
      <c r="E41" s="1" t="s">
        <v>63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2" t="s">
        <v>22</v>
      </c>
      <c r="Q41" s="2" t="s">
        <v>22</v>
      </c>
    </row>
    <row r="42" spans="1:17" x14ac:dyDescent="0.25">
      <c r="A42" s="1">
        <v>29</v>
      </c>
      <c r="B42" s="1" t="s">
        <v>61</v>
      </c>
      <c r="C42" s="1" t="s">
        <v>84</v>
      </c>
      <c r="D42" s="1" t="s">
        <v>23</v>
      </c>
      <c r="E42" s="1" t="s">
        <v>63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2" t="s">
        <v>22</v>
      </c>
      <c r="Q42" s="2" t="s">
        <v>22</v>
      </c>
    </row>
    <row r="43" spans="1:17" x14ac:dyDescent="0.25">
      <c r="A43" s="2" t="s">
        <v>62</v>
      </c>
      <c r="B43" s="2" t="s">
        <v>67</v>
      </c>
      <c r="C43" s="2" t="s">
        <v>84</v>
      </c>
      <c r="D43" s="2" t="s">
        <v>22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 t="s">
        <v>22</v>
      </c>
      <c r="Q43" s="2" t="s">
        <v>22</v>
      </c>
    </row>
    <row r="44" spans="1:17" x14ac:dyDescent="0.25">
      <c r="A44" s="2" t="s">
        <v>64</v>
      </c>
      <c r="B44" s="2" t="s">
        <v>72</v>
      </c>
      <c r="C44" s="2" t="s">
        <v>84</v>
      </c>
      <c r="D44" s="2" t="s">
        <v>22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 t="s">
        <v>22</v>
      </c>
      <c r="Q44" s="2" t="s">
        <v>22</v>
      </c>
    </row>
    <row r="45" spans="1:17" x14ac:dyDescent="0.25">
      <c r="A45" s="1"/>
      <c r="B45" s="1" t="s">
        <v>68</v>
      </c>
      <c r="C45" s="1" t="s">
        <v>84</v>
      </c>
      <c r="D45" s="1" t="s">
        <v>22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2" t="s">
        <v>22</v>
      </c>
      <c r="Q45" s="2" t="s">
        <v>22</v>
      </c>
    </row>
    <row r="46" spans="1:17" x14ac:dyDescent="0.25">
      <c r="A46" s="1"/>
      <c r="B46" s="1" t="s">
        <v>69</v>
      </c>
      <c r="C46" s="1" t="s">
        <v>84</v>
      </c>
      <c r="D46" s="1" t="s">
        <v>22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2" t="s">
        <v>22</v>
      </c>
      <c r="Q46" s="2" t="s">
        <v>22</v>
      </c>
    </row>
    <row r="47" spans="1:17" x14ac:dyDescent="0.25">
      <c r="A47" s="1"/>
      <c r="B47" s="1" t="s">
        <v>71</v>
      </c>
      <c r="C47" s="1" t="s">
        <v>84</v>
      </c>
      <c r="D47" s="1" t="s">
        <v>22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2" t="s">
        <v>22</v>
      </c>
      <c r="Q47" s="2" t="s">
        <v>22</v>
      </c>
    </row>
    <row r="48" spans="1:17" x14ac:dyDescent="0.25">
      <c r="A48" s="1"/>
      <c r="B48" s="1" t="s">
        <v>73</v>
      </c>
      <c r="C48" s="1" t="s">
        <v>84</v>
      </c>
      <c r="D48" s="1" t="s">
        <v>22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2" t="s">
        <v>22</v>
      </c>
      <c r="Q48" s="2" t="s">
        <v>22</v>
      </c>
    </row>
    <row r="49" spans="1:1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30" x14ac:dyDescent="0.25">
      <c r="A51" s="1"/>
      <c r="B51" s="3" t="s">
        <v>74</v>
      </c>
      <c r="C51" s="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</sheetData>
  <mergeCells count="1">
    <mergeCell ref="A1:Q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69F5B-253E-46C5-9668-DDB3B701FAA0}">
  <sheetPr>
    <pageSetUpPr fitToPage="1"/>
  </sheetPr>
  <dimension ref="A1:S51"/>
  <sheetViews>
    <sheetView tabSelected="1" zoomScale="110" zoomScaleNormal="110" workbookViewId="0">
      <selection activeCell="U12" sqref="U12"/>
    </sheetView>
  </sheetViews>
  <sheetFormatPr defaultColWidth="8.85546875" defaultRowHeight="15" x14ac:dyDescent="0.25"/>
  <cols>
    <col min="1" max="1" width="6.28515625" bestFit="1" customWidth="1"/>
    <col min="2" max="2" width="45.7109375" customWidth="1"/>
    <col min="3" max="3" width="5.85546875" bestFit="1" customWidth="1"/>
    <col min="5" max="5" width="15" bestFit="1" customWidth="1"/>
    <col min="6" max="6" width="5.85546875" bestFit="1" customWidth="1"/>
    <col min="7" max="7" width="4.42578125" bestFit="1" customWidth="1"/>
    <col min="8" max="9" width="4.28515625" bestFit="1" customWidth="1"/>
    <col min="10" max="10" width="4.42578125" bestFit="1" customWidth="1"/>
    <col min="11" max="11" width="4.28515625" bestFit="1" customWidth="1"/>
    <col min="12" max="12" width="4.140625" bestFit="1" customWidth="1"/>
    <col min="13" max="13" width="3" bestFit="1" customWidth="1"/>
    <col min="14" max="14" width="6.140625" bestFit="1" customWidth="1"/>
    <col min="15" max="15" width="7" bestFit="1" customWidth="1"/>
    <col min="16" max="16" width="8.85546875" bestFit="1" customWidth="1"/>
  </cols>
  <sheetData>
    <row r="1" spans="1:19" ht="15.75" x14ac:dyDescent="0.25">
      <c r="A1" s="9" t="s">
        <v>78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9" x14ac:dyDescent="0.25">
      <c r="A2" s="5" t="s">
        <v>0</v>
      </c>
      <c r="B2" s="5" t="s">
        <v>77</v>
      </c>
      <c r="C2" s="5" t="s">
        <v>81</v>
      </c>
      <c r="D2" s="5" t="s">
        <v>20</v>
      </c>
      <c r="E2" s="5" t="s">
        <v>25</v>
      </c>
      <c r="F2" s="5" t="s">
        <v>1</v>
      </c>
      <c r="G2" s="5" t="s">
        <v>2</v>
      </c>
      <c r="H2" s="5" t="s">
        <v>3</v>
      </c>
      <c r="I2" s="5" t="s">
        <v>4</v>
      </c>
      <c r="J2" s="5" t="s">
        <v>6</v>
      </c>
      <c r="K2" s="5" t="s">
        <v>5</v>
      </c>
      <c r="L2" s="5" t="s">
        <v>7</v>
      </c>
      <c r="M2" s="5" t="s">
        <v>8</v>
      </c>
      <c r="N2" s="5" t="s">
        <v>9</v>
      </c>
      <c r="O2" s="5" t="s">
        <v>10</v>
      </c>
      <c r="P2" s="6">
        <v>45895</v>
      </c>
      <c r="Q2" s="5" t="s">
        <v>76</v>
      </c>
      <c r="S2">
        <f>46*2*2</f>
        <v>184</v>
      </c>
    </row>
    <row r="3" spans="1:19" s="8" customFormat="1" x14ac:dyDescent="0.25">
      <c r="A3" s="7">
        <v>1</v>
      </c>
      <c r="B3" s="7" t="s">
        <v>80</v>
      </c>
      <c r="C3" s="7" t="s">
        <v>82</v>
      </c>
      <c r="D3" s="7" t="s">
        <v>21</v>
      </c>
      <c r="E3" s="7" t="s">
        <v>27</v>
      </c>
      <c r="F3" s="7"/>
      <c r="G3" s="7"/>
      <c r="H3" s="7"/>
      <c r="I3" s="7"/>
      <c r="J3" s="7"/>
      <c r="K3" s="7"/>
      <c r="L3" s="7"/>
      <c r="M3" s="7"/>
      <c r="N3" s="7"/>
      <c r="O3" s="7"/>
      <c r="P3" s="2" t="s">
        <v>22</v>
      </c>
      <c r="Q3" s="2" t="s">
        <v>22</v>
      </c>
    </row>
    <row r="4" spans="1:19" x14ac:dyDescent="0.25">
      <c r="A4" s="1">
        <v>2</v>
      </c>
      <c r="B4" s="1" t="s">
        <v>11</v>
      </c>
      <c r="C4" s="1" t="s">
        <v>83</v>
      </c>
      <c r="D4" s="1" t="s">
        <v>21</v>
      </c>
      <c r="E4" s="1" t="s">
        <v>27</v>
      </c>
      <c r="F4" s="1"/>
      <c r="G4" s="1"/>
      <c r="H4" s="1"/>
      <c r="I4" s="1"/>
      <c r="J4" s="1"/>
      <c r="K4" s="1"/>
      <c r="L4" s="1"/>
      <c r="M4" s="1"/>
      <c r="N4" s="1"/>
      <c r="O4" s="1"/>
      <c r="P4" s="2" t="s">
        <v>22</v>
      </c>
      <c r="Q4" s="2" t="s">
        <v>22</v>
      </c>
    </row>
    <row r="5" spans="1:19" s="8" customFormat="1" x14ac:dyDescent="0.25">
      <c r="A5" s="7">
        <v>3</v>
      </c>
      <c r="B5" s="7" t="s">
        <v>12</v>
      </c>
      <c r="C5" s="7" t="s">
        <v>82</v>
      </c>
      <c r="D5" s="7" t="s">
        <v>21</v>
      </c>
      <c r="E5" s="7" t="s">
        <v>27</v>
      </c>
      <c r="F5" s="7"/>
      <c r="G5" s="7"/>
      <c r="H5" s="7"/>
      <c r="I5" s="7"/>
      <c r="J5" s="7"/>
      <c r="K5" s="7"/>
      <c r="L5" s="7"/>
      <c r="M5" s="7"/>
      <c r="N5" s="7"/>
      <c r="O5" s="7"/>
      <c r="P5" s="2" t="s">
        <v>22</v>
      </c>
      <c r="Q5" s="2" t="s">
        <v>22</v>
      </c>
    </row>
    <row r="6" spans="1:19" x14ac:dyDescent="0.25">
      <c r="A6" s="1">
        <v>4</v>
      </c>
      <c r="B6" s="1" t="s">
        <v>13</v>
      </c>
      <c r="C6" s="1" t="s">
        <v>83</v>
      </c>
      <c r="D6" s="1" t="s">
        <v>21</v>
      </c>
      <c r="E6" s="1" t="s">
        <v>27</v>
      </c>
      <c r="F6" s="1"/>
      <c r="G6" s="1"/>
      <c r="H6" s="1"/>
      <c r="I6" s="1"/>
      <c r="J6" s="1"/>
      <c r="K6" s="1"/>
      <c r="L6" s="1"/>
      <c r="M6" s="1"/>
      <c r="N6" s="1"/>
      <c r="O6" s="1"/>
      <c r="P6" s="2" t="s">
        <v>22</v>
      </c>
      <c r="Q6" s="2" t="s">
        <v>22</v>
      </c>
    </row>
    <row r="7" spans="1:19" x14ac:dyDescent="0.25">
      <c r="A7" s="1"/>
      <c r="B7" s="1" t="s">
        <v>85</v>
      </c>
      <c r="C7" s="1" t="s">
        <v>83</v>
      </c>
      <c r="D7" s="1" t="s">
        <v>21</v>
      </c>
      <c r="E7" s="1" t="s">
        <v>27</v>
      </c>
      <c r="F7" s="1"/>
      <c r="G7" s="1"/>
      <c r="H7" s="1"/>
      <c r="I7" s="1"/>
      <c r="J7" s="1"/>
      <c r="K7" s="1"/>
      <c r="L7" s="1"/>
      <c r="M7" s="1"/>
      <c r="N7" s="1"/>
      <c r="O7" s="1"/>
      <c r="P7" s="2" t="s">
        <v>22</v>
      </c>
      <c r="Q7" s="2" t="s">
        <v>22</v>
      </c>
    </row>
    <row r="8" spans="1:19" x14ac:dyDescent="0.25">
      <c r="A8" s="2" t="s">
        <v>18</v>
      </c>
      <c r="B8" s="2" t="s">
        <v>14</v>
      </c>
      <c r="C8" s="2" t="s">
        <v>83</v>
      </c>
      <c r="D8" s="2" t="s">
        <v>22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 t="s">
        <v>22</v>
      </c>
      <c r="Q8" s="2" t="s">
        <v>22</v>
      </c>
    </row>
    <row r="9" spans="1:19" x14ac:dyDescent="0.25">
      <c r="A9" s="1">
        <v>5</v>
      </c>
      <c r="B9" s="1" t="s">
        <v>24</v>
      </c>
      <c r="C9" s="1" t="s">
        <v>83</v>
      </c>
      <c r="D9" s="1" t="s">
        <v>26</v>
      </c>
      <c r="E9" s="1" t="s">
        <v>27</v>
      </c>
      <c r="F9" s="1"/>
      <c r="G9" s="1"/>
      <c r="H9" s="1"/>
      <c r="I9" s="1"/>
      <c r="J9" s="1"/>
      <c r="K9" s="1"/>
      <c r="L9" s="1"/>
      <c r="M9" s="1"/>
      <c r="N9" s="1"/>
      <c r="O9" s="1"/>
      <c r="P9" s="2" t="s">
        <v>22</v>
      </c>
      <c r="Q9" s="2" t="s">
        <v>22</v>
      </c>
    </row>
    <row r="10" spans="1:19" x14ac:dyDescent="0.25">
      <c r="A10" s="1">
        <v>6</v>
      </c>
      <c r="B10" s="1" t="s">
        <v>28</v>
      </c>
      <c r="C10" s="1" t="s">
        <v>83</v>
      </c>
      <c r="D10" s="1" t="s">
        <v>23</v>
      </c>
      <c r="E10" s="1" t="s">
        <v>34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2" t="s">
        <v>22</v>
      </c>
      <c r="Q10" s="2" t="s">
        <v>22</v>
      </c>
    </row>
    <row r="11" spans="1:19" x14ac:dyDescent="0.25">
      <c r="A11" s="1">
        <v>7</v>
      </c>
      <c r="B11" s="1" t="s">
        <v>15</v>
      </c>
      <c r="C11" s="1" t="s">
        <v>83</v>
      </c>
      <c r="D11" s="1" t="s">
        <v>21</v>
      </c>
      <c r="E11" s="1" t="s">
        <v>27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2" t="s">
        <v>22</v>
      </c>
      <c r="Q11" s="2" t="s">
        <v>22</v>
      </c>
    </row>
    <row r="12" spans="1:19" x14ac:dyDescent="0.25">
      <c r="A12" s="1">
        <v>8</v>
      </c>
      <c r="B12" s="1" t="s">
        <v>16</v>
      </c>
      <c r="C12" s="1" t="s">
        <v>83</v>
      </c>
      <c r="D12" s="1" t="s">
        <v>23</v>
      </c>
      <c r="E12" s="1" t="s">
        <v>34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2" t="s">
        <v>22</v>
      </c>
      <c r="Q12" s="2" t="s">
        <v>22</v>
      </c>
    </row>
    <row r="13" spans="1:19" x14ac:dyDescent="0.25">
      <c r="A13" s="1">
        <v>9</v>
      </c>
      <c r="B13" s="1" t="s">
        <v>17</v>
      </c>
      <c r="C13" s="1" t="s">
        <v>83</v>
      </c>
      <c r="D13" s="1" t="s">
        <v>21</v>
      </c>
      <c r="E13" s="1" t="s">
        <v>27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2" t="s">
        <v>22</v>
      </c>
      <c r="Q13" s="2" t="s">
        <v>22</v>
      </c>
    </row>
    <row r="14" spans="1:19" x14ac:dyDescent="0.25">
      <c r="A14" s="1">
        <v>10</v>
      </c>
      <c r="B14" s="1" t="s">
        <v>29</v>
      </c>
      <c r="C14" s="1" t="s">
        <v>83</v>
      </c>
      <c r="D14" s="1" t="s">
        <v>23</v>
      </c>
      <c r="E14" s="1" t="s">
        <v>27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2" t="s">
        <v>22</v>
      </c>
      <c r="Q14" s="2" t="s">
        <v>22</v>
      </c>
    </row>
    <row r="15" spans="1:19" x14ac:dyDescent="0.25">
      <c r="A15" s="1">
        <v>11</v>
      </c>
      <c r="B15" s="1" t="s">
        <v>30</v>
      </c>
      <c r="C15" s="1" t="s">
        <v>83</v>
      </c>
      <c r="D15" s="1" t="s">
        <v>23</v>
      </c>
      <c r="E15" s="1" t="s">
        <v>27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2" t="s">
        <v>22</v>
      </c>
      <c r="Q15" s="2" t="s">
        <v>22</v>
      </c>
    </row>
    <row r="16" spans="1:19" x14ac:dyDescent="0.25">
      <c r="A16" s="2" t="s">
        <v>19</v>
      </c>
      <c r="B16" s="3" t="s">
        <v>31</v>
      </c>
      <c r="C16" s="2" t="s">
        <v>83</v>
      </c>
      <c r="D16" s="2" t="s">
        <v>22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 t="s">
        <v>22</v>
      </c>
      <c r="Q16" s="2" t="s">
        <v>22</v>
      </c>
    </row>
    <row r="17" spans="1:17" x14ac:dyDescent="0.25">
      <c r="A17" s="2" t="s">
        <v>32</v>
      </c>
      <c r="B17" s="2" t="s">
        <v>33</v>
      </c>
      <c r="C17" s="2" t="s">
        <v>83</v>
      </c>
      <c r="D17" s="2" t="s">
        <v>22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 t="s">
        <v>22</v>
      </c>
      <c r="Q17" s="2" t="s">
        <v>22</v>
      </c>
    </row>
    <row r="18" spans="1:17" x14ac:dyDescent="0.25">
      <c r="A18" s="1">
        <v>12</v>
      </c>
      <c r="B18" s="1" t="s">
        <v>35</v>
      </c>
      <c r="C18" s="1" t="s">
        <v>83</v>
      </c>
      <c r="D18" s="1" t="s">
        <v>23</v>
      </c>
      <c r="E18" s="1" t="s">
        <v>34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2" t="s">
        <v>22</v>
      </c>
      <c r="Q18" s="2" t="s">
        <v>22</v>
      </c>
    </row>
    <row r="19" spans="1:17" x14ac:dyDescent="0.25">
      <c r="A19" s="1">
        <v>13</v>
      </c>
      <c r="B19" s="1" t="s">
        <v>36</v>
      </c>
      <c r="C19" s="1" t="s">
        <v>83</v>
      </c>
      <c r="D19" s="1" t="s">
        <v>23</v>
      </c>
      <c r="E19" s="1" t="s">
        <v>34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2" t="s">
        <v>22</v>
      </c>
      <c r="Q19" s="2" t="s">
        <v>22</v>
      </c>
    </row>
    <row r="20" spans="1:17" x14ac:dyDescent="0.25">
      <c r="A20" s="2" t="s">
        <v>38</v>
      </c>
      <c r="B20" s="2" t="s">
        <v>37</v>
      </c>
      <c r="C20" s="2" t="s">
        <v>83</v>
      </c>
      <c r="D20" s="2" t="s">
        <v>22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 t="s">
        <v>22</v>
      </c>
      <c r="Q20" s="2" t="s">
        <v>22</v>
      </c>
    </row>
    <row r="21" spans="1:17" x14ac:dyDescent="0.25">
      <c r="A21" s="2" t="s">
        <v>39</v>
      </c>
      <c r="B21" s="2" t="s">
        <v>40</v>
      </c>
      <c r="C21" s="2" t="s">
        <v>83</v>
      </c>
      <c r="D21" s="2" t="s">
        <v>22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 t="s">
        <v>22</v>
      </c>
      <c r="Q21" s="2" t="s">
        <v>22</v>
      </c>
    </row>
    <row r="22" spans="1:17" x14ac:dyDescent="0.25">
      <c r="A22" s="1">
        <v>14</v>
      </c>
      <c r="B22" s="1" t="s">
        <v>41</v>
      </c>
      <c r="C22" s="1" t="s">
        <v>83</v>
      </c>
      <c r="D22" s="1" t="s">
        <v>23</v>
      </c>
      <c r="E22" s="1" t="s">
        <v>47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2" t="s">
        <v>22</v>
      </c>
      <c r="Q22" s="2" t="s">
        <v>22</v>
      </c>
    </row>
    <row r="23" spans="1:17" x14ac:dyDescent="0.25">
      <c r="A23" s="1">
        <v>15</v>
      </c>
      <c r="B23" s="1" t="s">
        <v>42</v>
      </c>
      <c r="C23" s="1" t="s">
        <v>83</v>
      </c>
      <c r="D23" s="1" t="s">
        <v>23</v>
      </c>
      <c r="E23" s="1" t="s">
        <v>47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2" t="s">
        <v>22</v>
      </c>
      <c r="Q23" s="2" t="s">
        <v>22</v>
      </c>
    </row>
    <row r="24" spans="1:17" x14ac:dyDescent="0.25">
      <c r="A24" s="1">
        <v>16</v>
      </c>
      <c r="B24" s="1" t="s">
        <v>79</v>
      </c>
      <c r="C24" s="1" t="s">
        <v>83</v>
      </c>
      <c r="D24" s="1" t="s">
        <v>21</v>
      </c>
      <c r="E24" s="1" t="s">
        <v>47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2" t="s">
        <v>22</v>
      </c>
      <c r="Q24" s="2" t="s">
        <v>22</v>
      </c>
    </row>
    <row r="25" spans="1:17" x14ac:dyDescent="0.25">
      <c r="A25" s="1">
        <v>17</v>
      </c>
      <c r="B25" s="1" t="s">
        <v>48</v>
      </c>
      <c r="C25" s="1" t="s">
        <v>83</v>
      </c>
      <c r="D25" s="1" t="s">
        <v>21</v>
      </c>
      <c r="E25" s="1" t="s">
        <v>47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2" t="s">
        <v>22</v>
      </c>
      <c r="Q25" s="2" t="s">
        <v>22</v>
      </c>
    </row>
    <row r="26" spans="1:17" x14ac:dyDescent="0.25">
      <c r="A26" s="1">
        <v>18</v>
      </c>
      <c r="B26" s="1" t="s">
        <v>49</v>
      </c>
      <c r="C26" s="1" t="s">
        <v>83</v>
      </c>
      <c r="D26" s="1" t="s">
        <v>21</v>
      </c>
      <c r="E26" s="1" t="s">
        <v>47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2" t="s">
        <v>22</v>
      </c>
      <c r="Q26" s="2" t="s">
        <v>22</v>
      </c>
    </row>
    <row r="27" spans="1:17" x14ac:dyDescent="0.25">
      <c r="A27" s="1">
        <v>19</v>
      </c>
      <c r="B27" s="1" t="s">
        <v>50</v>
      </c>
      <c r="C27" s="1" t="s">
        <v>83</v>
      </c>
      <c r="D27" s="1" t="s">
        <v>21</v>
      </c>
      <c r="E27" s="1" t="s">
        <v>47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2" t="s">
        <v>22</v>
      </c>
      <c r="Q27" s="2" t="s">
        <v>22</v>
      </c>
    </row>
    <row r="28" spans="1:17" x14ac:dyDescent="0.25">
      <c r="A28" s="1">
        <v>20</v>
      </c>
      <c r="B28" s="1" t="s">
        <v>43</v>
      </c>
      <c r="C28" s="1" t="s">
        <v>83</v>
      </c>
      <c r="D28" s="1" t="s">
        <v>23</v>
      </c>
      <c r="E28" s="1" t="s">
        <v>47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2" t="s">
        <v>22</v>
      </c>
      <c r="Q28" s="2" t="s">
        <v>22</v>
      </c>
    </row>
    <row r="29" spans="1:17" x14ac:dyDescent="0.25">
      <c r="A29" s="2" t="s">
        <v>44</v>
      </c>
      <c r="B29" s="2" t="s">
        <v>51</v>
      </c>
      <c r="C29" s="2" t="s">
        <v>83</v>
      </c>
      <c r="D29" s="2" t="s">
        <v>22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 t="s">
        <v>22</v>
      </c>
      <c r="Q29" s="2" t="s">
        <v>22</v>
      </c>
    </row>
    <row r="30" spans="1:17" x14ac:dyDescent="0.25">
      <c r="A30" s="2" t="s">
        <v>45</v>
      </c>
      <c r="B30" s="2" t="s">
        <v>46</v>
      </c>
      <c r="C30" s="2" t="s">
        <v>83</v>
      </c>
      <c r="D30" s="2" t="s">
        <v>22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 t="s">
        <v>22</v>
      </c>
      <c r="Q30" s="2" t="s">
        <v>22</v>
      </c>
    </row>
    <row r="31" spans="1:17" x14ac:dyDescent="0.25">
      <c r="A31" s="1">
        <v>21</v>
      </c>
      <c r="B31" s="1" t="s">
        <v>53</v>
      </c>
      <c r="C31" s="1" t="s">
        <v>83</v>
      </c>
      <c r="D31" s="1" t="s">
        <v>21</v>
      </c>
      <c r="E31" s="1" t="s">
        <v>47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2" t="s">
        <v>22</v>
      </c>
      <c r="Q31" s="2" t="s">
        <v>22</v>
      </c>
    </row>
    <row r="32" spans="1:17" x14ac:dyDescent="0.25">
      <c r="A32" s="1">
        <v>22</v>
      </c>
      <c r="B32" s="1" t="s">
        <v>54</v>
      </c>
      <c r="C32" s="1" t="s">
        <v>83</v>
      </c>
      <c r="D32" s="1" t="s">
        <v>23</v>
      </c>
      <c r="E32" s="1" t="s">
        <v>47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2" t="s">
        <v>22</v>
      </c>
      <c r="Q32" s="2" t="s">
        <v>22</v>
      </c>
    </row>
    <row r="33" spans="1:17" x14ac:dyDescent="0.25">
      <c r="A33" s="1">
        <v>23</v>
      </c>
      <c r="B33" s="1" t="s">
        <v>55</v>
      </c>
      <c r="C33" s="1" t="s">
        <v>83</v>
      </c>
      <c r="D33" s="1" t="s">
        <v>23</v>
      </c>
      <c r="E33" s="1" t="s">
        <v>47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2" t="s">
        <v>22</v>
      </c>
      <c r="Q33" s="2" t="s">
        <v>22</v>
      </c>
    </row>
    <row r="34" spans="1:17" x14ac:dyDescent="0.25">
      <c r="A34" s="1">
        <v>24</v>
      </c>
      <c r="B34" s="1" t="s">
        <v>56</v>
      </c>
      <c r="C34" s="1" t="s">
        <v>83</v>
      </c>
      <c r="D34" s="1" t="s">
        <v>23</v>
      </c>
      <c r="E34" s="1" t="s">
        <v>47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2" t="s">
        <v>22</v>
      </c>
      <c r="Q34" s="2" t="s">
        <v>22</v>
      </c>
    </row>
    <row r="35" spans="1:17" x14ac:dyDescent="0.25">
      <c r="A35" s="1">
        <v>25</v>
      </c>
      <c r="B35" s="1" t="s">
        <v>57</v>
      </c>
      <c r="C35" s="1" t="s">
        <v>83</v>
      </c>
      <c r="D35" s="1" t="s">
        <v>23</v>
      </c>
      <c r="E35" s="1" t="s">
        <v>47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2" t="s">
        <v>22</v>
      </c>
      <c r="Q35" s="2" t="s">
        <v>22</v>
      </c>
    </row>
    <row r="36" spans="1:17" x14ac:dyDescent="0.25">
      <c r="A36" s="2" t="s">
        <v>52</v>
      </c>
      <c r="B36" s="3" t="s">
        <v>58</v>
      </c>
      <c r="C36" s="2" t="s">
        <v>83</v>
      </c>
      <c r="D36" s="2" t="s">
        <v>22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 t="s">
        <v>22</v>
      </c>
      <c r="Q36" s="2" t="s">
        <v>22</v>
      </c>
    </row>
    <row r="37" spans="1:17" x14ac:dyDescent="0.25">
      <c r="A37" s="1">
        <v>26</v>
      </c>
      <c r="B37" s="1" t="s">
        <v>60</v>
      </c>
      <c r="C37" s="1" t="s">
        <v>83</v>
      </c>
      <c r="D37" s="1" t="s">
        <v>23</v>
      </c>
      <c r="E37" s="1" t="s">
        <v>47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2" t="s">
        <v>22</v>
      </c>
      <c r="Q37" s="2" t="s">
        <v>22</v>
      </c>
    </row>
    <row r="38" spans="1:17" x14ac:dyDescent="0.25">
      <c r="A38" s="2" t="s">
        <v>59</v>
      </c>
      <c r="B38" s="2" t="s">
        <v>70</v>
      </c>
      <c r="C38" s="2" t="s">
        <v>83</v>
      </c>
      <c r="D38" s="2" t="s">
        <v>22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 t="s">
        <v>22</v>
      </c>
      <c r="Q38" s="2" t="s">
        <v>22</v>
      </c>
    </row>
    <row r="39" spans="1:17" x14ac:dyDescent="0.25">
      <c r="A39" s="1"/>
      <c r="B39" s="4" t="s">
        <v>75</v>
      </c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2" t="s">
        <v>22</v>
      </c>
      <c r="Q39" s="2" t="s">
        <v>22</v>
      </c>
    </row>
    <row r="40" spans="1:17" x14ac:dyDescent="0.25">
      <c r="A40" s="1">
        <v>27</v>
      </c>
      <c r="B40" s="1" t="s">
        <v>65</v>
      </c>
      <c r="C40" s="1" t="s">
        <v>83</v>
      </c>
      <c r="D40" s="1" t="s">
        <v>23</v>
      </c>
      <c r="E40" s="1" t="s">
        <v>63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2" t="s">
        <v>22</v>
      </c>
      <c r="Q40" s="2" t="s">
        <v>22</v>
      </c>
    </row>
    <row r="41" spans="1:17" x14ac:dyDescent="0.25">
      <c r="A41" s="1">
        <v>28</v>
      </c>
      <c r="B41" s="1" t="s">
        <v>66</v>
      </c>
      <c r="C41" s="1" t="s">
        <v>83</v>
      </c>
      <c r="D41" s="1" t="s">
        <v>23</v>
      </c>
      <c r="E41" s="1" t="s">
        <v>63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2" t="s">
        <v>22</v>
      </c>
      <c r="Q41" s="2" t="s">
        <v>22</v>
      </c>
    </row>
    <row r="42" spans="1:17" x14ac:dyDescent="0.25">
      <c r="A42" s="1">
        <v>29</v>
      </c>
      <c r="B42" s="1" t="s">
        <v>61</v>
      </c>
      <c r="C42" s="1" t="s">
        <v>83</v>
      </c>
      <c r="D42" s="1" t="s">
        <v>23</v>
      </c>
      <c r="E42" s="1" t="s">
        <v>63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2" t="s">
        <v>22</v>
      </c>
      <c r="Q42" s="2" t="s">
        <v>22</v>
      </c>
    </row>
    <row r="43" spans="1:17" x14ac:dyDescent="0.25">
      <c r="A43" s="2" t="s">
        <v>62</v>
      </c>
      <c r="B43" s="2" t="s">
        <v>67</v>
      </c>
      <c r="C43" s="2" t="s">
        <v>83</v>
      </c>
      <c r="D43" s="2" t="s">
        <v>22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 t="s">
        <v>22</v>
      </c>
      <c r="Q43" s="2" t="s">
        <v>22</v>
      </c>
    </row>
    <row r="44" spans="1:17" x14ac:dyDescent="0.25">
      <c r="A44" s="2" t="s">
        <v>64</v>
      </c>
      <c r="B44" s="2" t="s">
        <v>72</v>
      </c>
      <c r="C44" s="2" t="s">
        <v>83</v>
      </c>
      <c r="D44" s="2" t="s">
        <v>22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 t="s">
        <v>22</v>
      </c>
      <c r="Q44" s="2" t="s">
        <v>22</v>
      </c>
    </row>
    <row r="45" spans="1:17" x14ac:dyDescent="0.25">
      <c r="A45" s="1"/>
      <c r="B45" s="1" t="s">
        <v>68</v>
      </c>
      <c r="C45" s="1" t="s">
        <v>84</v>
      </c>
      <c r="D45" s="1" t="s">
        <v>22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2" t="s">
        <v>22</v>
      </c>
      <c r="Q45" s="2" t="s">
        <v>22</v>
      </c>
    </row>
    <row r="46" spans="1:17" x14ac:dyDescent="0.25">
      <c r="A46" s="1"/>
      <c r="B46" s="1" t="s">
        <v>69</v>
      </c>
      <c r="C46" s="1" t="s">
        <v>84</v>
      </c>
      <c r="D46" s="1" t="s">
        <v>22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2" t="s">
        <v>22</v>
      </c>
      <c r="Q46" s="2" t="s">
        <v>22</v>
      </c>
    </row>
    <row r="47" spans="1:17" x14ac:dyDescent="0.25">
      <c r="A47" s="1"/>
      <c r="B47" s="1" t="s">
        <v>71</v>
      </c>
      <c r="C47" s="1" t="s">
        <v>84</v>
      </c>
      <c r="D47" s="1" t="s">
        <v>22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2" t="s">
        <v>22</v>
      </c>
      <c r="Q47" s="2" t="s">
        <v>22</v>
      </c>
    </row>
    <row r="48" spans="1:17" x14ac:dyDescent="0.25">
      <c r="A48" s="1"/>
      <c r="B48" s="1" t="s">
        <v>73</v>
      </c>
      <c r="C48" s="1" t="s">
        <v>84</v>
      </c>
      <c r="D48" s="1" t="s">
        <v>22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2" t="s">
        <v>22</v>
      </c>
      <c r="Q48" s="2" t="s">
        <v>22</v>
      </c>
    </row>
    <row r="49" spans="1:1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30" x14ac:dyDescent="0.25">
      <c r="A51" s="1"/>
      <c r="B51" s="3" t="s">
        <v>74</v>
      </c>
      <c r="C51" s="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</sheetData>
  <mergeCells count="1">
    <mergeCell ref="A1:Q1"/>
  </mergeCells>
  <pageMargins left="0.7" right="0.7" top="0.75" bottom="0.75" header="0.3" footer="0.3"/>
  <pageSetup paperSize="8"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EBITDA per kg</vt:lpstr>
      <vt:lpstr>Daily EBITDA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Chopra</dc:creator>
  <cp:lastModifiedBy>Arnab Seth</cp:lastModifiedBy>
  <cp:lastPrinted>2025-10-17T15:21:50Z</cp:lastPrinted>
  <dcterms:created xsi:type="dcterms:W3CDTF">2015-06-05T18:17:20Z</dcterms:created>
  <dcterms:modified xsi:type="dcterms:W3CDTF">2025-10-17T15:21:50Z</dcterms:modified>
</cp:coreProperties>
</file>